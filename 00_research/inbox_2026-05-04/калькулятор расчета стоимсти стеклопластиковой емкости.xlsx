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DED56F5-4A61-465F-8327-2EAB91FADD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лькулятор стеклопластик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C21" i="2" l="1"/>
  <c r="B7" i="2"/>
  <c r="B8" i="2"/>
  <c r="C8" i="2" s="1"/>
  <c r="C20" i="2"/>
  <c r="E2" i="1"/>
  <c r="C7" i="2" l="1"/>
  <c r="E3" i="1"/>
  <c r="B12" i="2" l="1"/>
  <c r="B13" i="2"/>
  <c r="C13" i="2" s="1"/>
  <c r="B9" i="2"/>
  <c r="E4" i="1" s="1"/>
  <c r="C19" i="2"/>
  <c r="C9" i="2" l="1"/>
  <c r="B10" i="2"/>
  <c r="B14" i="2"/>
  <c r="C12" i="2"/>
  <c r="E5" i="1"/>
  <c r="C16" i="2" l="1"/>
</calcChain>
</file>

<file path=xl/sharedStrings.xml><?xml version="1.0" encoding="utf-8"?>
<sst xmlns="http://schemas.openxmlformats.org/spreadsheetml/2006/main" count="39" uniqueCount="38">
  <si>
    <t>Диаметр</t>
  </si>
  <si>
    <t>смола - стоимость за кг</t>
  </si>
  <si>
    <t>нитка стоимость за кг</t>
  </si>
  <si>
    <t>рогожа стоимость за кг</t>
  </si>
  <si>
    <t>масса</t>
  </si>
  <si>
    <t>стоимость</t>
  </si>
  <si>
    <t>количество слоев рогожи
желательно через 3 слоя</t>
  </si>
  <si>
    <t>Толщина стенки (мм)</t>
  </si>
  <si>
    <t>промежуточные результаты</t>
  </si>
  <si>
    <t>площадь поверхности цилиндра м2</t>
  </si>
  <si>
    <t>расход никти на 1м2 на слой 1 мм</t>
  </si>
  <si>
    <t>расход рогожы на 1м2 на слой 1 мм</t>
  </si>
  <si>
    <t>Расчетный</t>
  </si>
  <si>
    <t>Принять к учету</t>
  </si>
  <si>
    <t>фактический</t>
  </si>
  <si>
    <t>смола</t>
  </si>
  <si>
    <t>рогожа</t>
  </si>
  <si>
    <t xml:space="preserve">стекло </t>
  </si>
  <si>
    <t>толщина нитки</t>
  </si>
  <si>
    <t>толщина рогожи</t>
  </si>
  <si>
    <t>расход смолы на 1м2 на слой 1 мм (кг)</t>
  </si>
  <si>
    <t>Масса цилиндра</t>
  </si>
  <si>
    <t>площадь  торцов</t>
  </si>
  <si>
    <t>Данные по цилиндру</t>
  </si>
  <si>
    <t>Данные по торцам</t>
  </si>
  <si>
    <t>Стоимость</t>
  </si>
  <si>
    <t>Объем емкости (м3)</t>
  </si>
  <si>
    <t>расход нитки (кг)</t>
  </si>
  <si>
    <t>Расход рогожи (кг)</t>
  </si>
  <si>
    <t>расход смолы (кг)</t>
  </si>
  <si>
    <t>расход рогожи (кг)</t>
  </si>
  <si>
    <t>масса торцов</t>
  </si>
  <si>
    <t>Итого себес</t>
  </si>
  <si>
    <t>Длина/высота</t>
  </si>
  <si>
    <t>Вывод данных</t>
  </si>
  <si>
    <t>количество слоев нитки</t>
  </si>
  <si>
    <t>Заполнить</t>
  </si>
  <si>
    <t>Доступные диаметры: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</si>
</sst>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0" fillId="2" borderId="1" xfId="0" applyFill="1" applyBorder="1" applyAlignment="1">
      <alignment wrapText="1"/>
    </xf>
    <xf numFmtId="3" fontId="1" fillId="0" borderId="1" xfId="0" applyNumberFormat="1" applyFont="1" applyBorder="1"/>
    <xf numFmtId="0" fontId="1" fillId="0" borderId="0" xfId="0" applyFont="1" applyFill="1" applyBorder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F16" sqref="F16"/>
    </sheetView>
  </sheetViews>
  <sheetFormatPr defaultRowHeight="15" x14ac:dyDescent="0.25"/>
  <cols>
    <col min="1" max="1" width="37.85546875" customWidth="1"/>
    <col min="2" max="2" width="15.7109375" bestFit="1" customWidth="1"/>
    <col min="3" max="3" width="4.7109375" customWidth="1"/>
    <col min="4" max="4" width="20.7109375" bestFit="1" customWidth="1"/>
    <col min="5" max="5" width="9.5703125" bestFit="1" customWidth="1"/>
  </cols>
  <sheetData>
    <row r="1" spans="1:5" x14ac:dyDescent="0.25">
      <c r="A1" s="4" t="s">
        <v>36</v>
      </c>
      <c r="B1" s="4"/>
      <c r="D1" s="4" t="s">
        <v>34</v>
      </c>
      <c r="E1" s="4"/>
    </row>
    <row r="2" spans="1:5" x14ac:dyDescent="0.25">
      <c r="A2" s="5" t="s">
        <v>0</v>
      </c>
      <c r="B2" s="6">
        <v>2000</v>
      </c>
      <c r="D2" s="5" t="s">
        <v>26</v>
      </c>
      <c r="E2" s="6">
        <f>3.14*B2/2*B2/2*B3/1000000000</f>
        <v>15.7</v>
      </c>
    </row>
    <row r="3" spans="1:5" x14ac:dyDescent="0.25">
      <c r="A3" s="5" t="s">
        <v>33</v>
      </c>
      <c r="B3" s="6">
        <v>5000</v>
      </c>
      <c r="D3" s="5" t="s">
        <v>7</v>
      </c>
      <c r="E3" s="6">
        <f>Лист1!B4+Лист1!B5</f>
        <v>7.8999999999999995</v>
      </c>
    </row>
    <row r="4" spans="1:5" x14ac:dyDescent="0.25">
      <c r="A4" s="5" t="s">
        <v>35</v>
      </c>
      <c r="B4" s="6">
        <v>6</v>
      </c>
      <c r="D4" s="5" t="s">
        <v>4</v>
      </c>
      <c r="E4" s="8">
        <f>Лист1!B8+Лист1!B9+Лист1!B7+Лист1!B12+Лист1!B13</f>
        <v>493.04619999999994</v>
      </c>
    </row>
    <row r="5" spans="1:5" ht="30" x14ac:dyDescent="0.25">
      <c r="A5" s="7" t="s">
        <v>6</v>
      </c>
      <c r="B5" s="6">
        <v>1</v>
      </c>
      <c r="D5" s="5" t="s">
        <v>5</v>
      </c>
      <c r="E5" s="8">
        <f>(Лист1!C7+Лист1!C8+Лист1!C9+Лист1!C12+Лист1!C13)*1.15*2</f>
        <v>188658.45449999996</v>
      </c>
    </row>
    <row r="8" spans="1:5" x14ac:dyDescent="0.25">
      <c r="A8" t="s">
        <v>37</v>
      </c>
      <c r="B8" s="9"/>
    </row>
    <row r="9" spans="1:5" x14ac:dyDescent="0.25">
      <c r="A9" s="10">
        <v>800</v>
      </c>
    </row>
    <row r="10" spans="1:5" x14ac:dyDescent="0.25">
      <c r="A10" s="10">
        <v>1000</v>
      </c>
      <c r="D10" s="1"/>
      <c r="E10" s="1"/>
    </row>
    <row r="11" spans="1:5" x14ac:dyDescent="0.25">
      <c r="A11" s="10">
        <v>1500</v>
      </c>
    </row>
    <row r="12" spans="1:5" x14ac:dyDescent="0.25">
      <c r="A12" s="10">
        <v>2000</v>
      </c>
    </row>
    <row r="13" spans="1:5" x14ac:dyDescent="0.25">
      <c r="A13" s="10">
        <v>2400</v>
      </c>
    </row>
  </sheetData>
  <sheetProtection selectLockedCells="1" selectUnlockedCells="1"/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FA4A-E82E-439D-85FE-106BCBCF3568}">
  <dimension ref="A1:C31"/>
  <sheetViews>
    <sheetView workbookViewId="0">
      <selection activeCell="H9" sqref="H9"/>
    </sheetView>
  </sheetViews>
  <sheetFormatPr defaultRowHeight="15" x14ac:dyDescent="0.25"/>
  <cols>
    <col min="1" max="1" width="36.5703125" bestFit="1" customWidth="1"/>
    <col min="2" max="2" width="15.5703125" bestFit="1" customWidth="1"/>
    <col min="3" max="3" width="12" bestFit="1" customWidth="1"/>
  </cols>
  <sheetData>
    <row r="1" spans="1:3" x14ac:dyDescent="0.25">
      <c r="A1" s="2" t="s">
        <v>8</v>
      </c>
      <c r="B1" s="2"/>
      <c r="C1" s="2"/>
    </row>
    <row r="2" spans="1:3" x14ac:dyDescent="0.25">
      <c r="A2" s="3" t="s">
        <v>9</v>
      </c>
      <c r="B2" s="3">
        <f>2*3.14*'Калькулятор стеклопластик'!B2/2*'Калькулятор стеклопластик'!B3/1000000</f>
        <v>31.4</v>
      </c>
      <c r="C2" s="3"/>
    </row>
    <row r="3" spans="1:3" x14ac:dyDescent="0.25">
      <c r="A3" s="3" t="s">
        <v>22</v>
      </c>
      <c r="B3" s="3">
        <f>3.14*'Калькулятор стеклопластик'!B2/2*'Калькулятор стеклопластик'!B2/2*2/1000000</f>
        <v>6.28</v>
      </c>
      <c r="C3" s="3"/>
    </row>
    <row r="4" spans="1:3" x14ac:dyDescent="0.25">
      <c r="A4" s="3" t="s">
        <v>18</v>
      </c>
      <c r="B4" s="3">
        <f>'Калькулятор стеклопластик'!B4*1.15</f>
        <v>6.8999999999999995</v>
      </c>
      <c r="C4" s="3"/>
    </row>
    <row r="5" spans="1:3" x14ac:dyDescent="0.25">
      <c r="A5" s="3" t="s">
        <v>19</v>
      </c>
      <c r="B5" s="3">
        <f>'Калькулятор стеклопластик'!B5*1</f>
        <v>1</v>
      </c>
      <c r="C5" s="3"/>
    </row>
    <row r="6" spans="1:3" x14ac:dyDescent="0.25">
      <c r="A6" s="2" t="s">
        <v>23</v>
      </c>
      <c r="B6" s="2"/>
      <c r="C6" s="3" t="s">
        <v>25</v>
      </c>
    </row>
    <row r="7" spans="1:3" x14ac:dyDescent="0.25">
      <c r="A7" s="3" t="s">
        <v>27</v>
      </c>
      <c r="B7" s="3">
        <f>B20*B2*B4</f>
        <v>253.49219999999997</v>
      </c>
      <c r="C7" s="3">
        <f>B7*B30</f>
        <v>19011.914999999997</v>
      </c>
    </row>
    <row r="8" spans="1:3" x14ac:dyDescent="0.25">
      <c r="A8" s="3" t="s">
        <v>28</v>
      </c>
      <c r="B8" s="3">
        <f>B21*B2*B5</f>
        <v>15.7</v>
      </c>
      <c r="C8" s="3">
        <f>B8*B31</f>
        <v>7065</v>
      </c>
    </row>
    <row r="9" spans="1:3" x14ac:dyDescent="0.25">
      <c r="A9" s="3" t="s">
        <v>29</v>
      </c>
      <c r="B9" s="3">
        <f>B19*B2*'Калькулятор стеклопластик'!E3</f>
        <v>148.83599999999998</v>
      </c>
      <c r="C9" s="3">
        <f>B9*B29</f>
        <v>33488.1</v>
      </c>
    </row>
    <row r="10" spans="1:3" x14ac:dyDescent="0.25">
      <c r="A10" s="3" t="s">
        <v>21</v>
      </c>
      <c r="B10" s="3">
        <f>B7+B8+B9</f>
        <v>418.02819999999997</v>
      </c>
      <c r="C10" s="3"/>
    </row>
    <row r="11" spans="1:3" x14ac:dyDescent="0.25">
      <c r="A11" s="2" t="s">
        <v>24</v>
      </c>
      <c r="B11" s="2"/>
      <c r="C11" s="3"/>
    </row>
    <row r="12" spans="1:3" x14ac:dyDescent="0.25">
      <c r="A12" s="3" t="s">
        <v>29</v>
      </c>
      <c r="B12" s="3">
        <f>B19+'Калькулятор стеклопластик'!E3*B3</f>
        <v>50.212000000000003</v>
      </c>
      <c r="C12" s="3">
        <f>B12*B29</f>
        <v>11297.7</v>
      </c>
    </row>
    <row r="13" spans="1:3" x14ac:dyDescent="0.25">
      <c r="A13" s="3" t="s">
        <v>30</v>
      </c>
      <c r="B13" s="3">
        <f>B21*B3*'Калькулятор стеклопластик'!E3</f>
        <v>24.806000000000001</v>
      </c>
      <c r="C13" s="3">
        <f>B13*B31</f>
        <v>11162.7</v>
      </c>
    </row>
    <row r="14" spans="1:3" x14ac:dyDescent="0.25">
      <c r="A14" s="3" t="s">
        <v>31</v>
      </c>
      <c r="B14" s="3">
        <f>B12+B13</f>
        <v>75.018000000000001</v>
      </c>
      <c r="C14" s="3"/>
    </row>
    <row r="15" spans="1:3" x14ac:dyDescent="0.25">
      <c r="A15" s="3"/>
      <c r="B15" s="3"/>
      <c r="C15" s="3"/>
    </row>
    <row r="16" spans="1:3" x14ac:dyDescent="0.25">
      <c r="A16" s="3" t="s">
        <v>32</v>
      </c>
      <c r="B16" s="3"/>
      <c r="C16" s="3">
        <f>C7+C8+C9+C12+C13</f>
        <v>82025.414999999994</v>
      </c>
    </row>
    <row r="17" spans="1:3" x14ac:dyDescent="0.25">
      <c r="A17" s="3"/>
      <c r="B17" s="3"/>
      <c r="C17" s="3"/>
    </row>
    <row r="18" spans="1:3" x14ac:dyDescent="0.25">
      <c r="A18" s="3"/>
      <c r="B18" s="3" t="s">
        <v>13</v>
      </c>
      <c r="C18" s="3" t="s">
        <v>12</v>
      </c>
    </row>
    <row r="19" spans="1:3" x14ac:dyDescent="0.25">
      <c r="A19" s="3" t="s">
        <v>20</v>
      </c>
      <c r="B19" s="3">
        <v>0.6</v>
      </c>
      <c r="C19" s="3">
        <f>B25/B2/'Калькулятор стеклопластик'!E3</f>
        <v>0.61799564621462566</v>
      </c>
    </row>
    <row r="20" spans="1:3" x14ac:dyDescent="0.25">
      <c r="A20" s="3" t="s">
        <v>10</v>
      </c>
      <c r="B20" s="3">
        <v>1.17</v>
      </c>
      <c r="C20" s="3">
        <f>B27/B2/B4</f>
        <v>1.2184990307394075</v>
      </c>
    </row>
    <row r="21" spans="1:3" x14ac:dyDescent="0.25">
      <c r="A21" s="3" t="s">
        <v>11</v>
      </c>
      <c r="B21" s="3">
        <v>0.5</v>
      </c>
      <c r="C21" s="3">
        <f>B26/B2/B5</f>
        <v>0.47770700636942676</v>
      </c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 t="s">
        <v>14</v>
      </c>
      <c r="B24" s="3"/>
      <c r="C24" s="3"/>
    </row>
    <row r="25" spans="1:3" x14ac:dyDescent="0.25">
      <c r="A25" s="3" t="s">
        <v>15</v>
      </c>
      <c r="B25" s="3">
        <v>153.30000000000001</v>
      </c>
      <c r="C25" s="3"/>
    </row>
    <row r="26" spans="1:3" x14ac:dyDescent="0.25">
      <c r="A26" s="3" t="s">
        <v>16</v>
      </c>
      <c r="B26" s="3">
        <v>15</v>
      </c>
      <c r="C26" s="3"/>
    </row>
    <row r="27" spans="1:3" x14ac:dyDescent="0.25">
      <c r="A27" s="3" t="s">
        <v>17</v>
      </c>
      <c r="B27" s="3">
        <v>264</v>
      </c>
      <c r="C27" s="3"/>
    </row>
    <row r="28" spans="1:3" x14ac:dyDescent="0.25">
      <c r="A28" s="3"/>
      <c r="B28" s="3"/>
      <c r="C28" s="3"/>
    </row>
    <row r="29" spans="1:3" x14ac:dyDescent="0.25">
      <c r="A29" s="3" t="s">
        <v>1</v>
      </c>
      <c r="B29" s="3">
        <v>225</v>
      </c>
      <c r="C29" s="3"/>
    </row>
    <row r="30" spans="1:3" x14ac:dyDescent="0.25">
      <c r="A30" s="3" t="s">
        <v>2</v>
      </c>
      <c r="B30" s="3">
        <v>75</v>
      </c>
      <c r="C30" s="3"/>
    </row>
    <row r="31" spans="1:3" x14ac:dyDescent="0.25">
      <c r="A31" s="3" t="s">
        <v>3</v>
      </c>
      <c r="B31" s="3">
        <v>450</v>
      </c>
      <c r="C31" s="3"/>
    </row>
  </sheetData>
  <sheetProtection algorithmName="SHA-512" hashValue="OHYubZRxECPAv87NmPfWunpzFEwAwFJM3q8HaoCl4AHuvSKeTOWJSVQdhV6ZzKoT5unhOZ/ty3UNMByZD9Q1sw==" saltValue="lvQR8lpUxDAt21i+Maxdcw==" spinCount="100000" sheet="1" objects="1" scenarios="1"/>
  <mergeCells count="3">
    <mergeCell ref="A6:B6"/>
    <mergeCell ref="A11:B1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Калькулятор стеклопластик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2026-02-28T10:11:49Z</dcterms:modified>
</cp:coreProperties>
</file>